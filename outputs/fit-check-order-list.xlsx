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8cf8361eb940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638369846bf4564"/>
    <x:sheet xmlns:r="http://schemas.openxmlformats.org/officeDocument/2006/relationships" name="Order List" sheetId="2" r:id="R3a8c42fd0a8d46d3"/>
    <x:sheet xmlns:r="http://schemas.openxmlformats.org/officeDocument/2006/relationships" name="Hold Closure" sheetId="3" r:id="Re4477138101842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8"/>
      <x:color rgb="FFFFFFFF"/>
      <x:name val="Arial"/>
    </x:font>
    <x:font>
      <x:b/>
      <x:sz val="11"/>
      <x:color rgb="FF17365D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1"/>
      <x:color rgb="FF9C65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4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4" fillId="2" borderId="3" xfId="0" applyNumberFormat="1" applyFont="1" applyFill="1" applyBorder="1"/>
    <x:xf numFmtId="0" fontId="4" fillId="2" borderId="3" xfId="0" applyNumberFormat="1" applyFont="1" applyFill="1" applyBorder="1" applyAlignment="1">
      <x:alignment wrapText="1"/>
    </x:xf>
    <x:xf numFmtId="0" fontId="4" fillId="2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vertical="top" wrapText="1"/>
    </x:xf>
    <x:xf numFmtId="200" fontId="5" fillId="0" borderId="2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vertical="top" wrapText="1"/>
    </x:xf>
    <x:xf numFmtId="0" fontId="6" fillId="4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2"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66d4b33e414a95" /><Relationship Type="http://schemas.openxmlformats.org/officeDocument/2006/relationships/theme" Target="/xl/theme/theme1.xml" Id="R0378835e03194dcb" /><Relationship Type="http://schemas.openxmlformats.org/officeDocument/2006/relationships/sharedStrings" Target="/xl/sharedStrings.xml" Id="R4b4ca3ae89c64b39" /><Relationship Type="http://schemas.openxmlformats.org/officeDocument/2006/relationships/worksheet" Target="/xl/worksheets/sheet1.xml" Id="R1638369846bf4564" /><Relationship Type="http://schemas.openxmlformats.org/officeDocument/2006/relationships/worksheet" Target="/xl/worksheets/sheet2.xml" Id="R3a8c42fd0a8d46d3" /><Relationship Type="http://schemas.openxmlformats.org/officeDocument/2006/relationships/worksheet" Target="/xl/worksheets/sheet3.xml" Id="Re447713810184260" /></Relationships>
</file>

<file path=xl/tables/table1.xml><?xml version="1.0" encoding="utf-8"?>
<x:table xmlns:x="http://schemas.openxmlformats.org/spreadsheetml/2006/main" id="1" name="FitCheckOrderTable" displayName="FitCheckOrderTable" ref="A1:J23" headerRowCount="1" totalsRowCount="0" totalsRowShown="0">
  <x:autoFilter ref="A1:J23"/>
  <x:tableColumns count="10">
    <x:tableColumn id="1" name="Status"/>
    <x:tableColumn id="2" name="Category"/>
    <x:tableColumn id="3" name="Ref / Use"/>
    <x:tableColumn id="4" name="Manufacturer Part"/>
    <x:tableColumn id="5" name="Description"/>
    <x:tableColumn id="6" name="Need"/>
    <x:tableColumn id="7" name="Order"/>
    <x:tableColumn id="8" name="Source"/>
    <x:tableColumn id="9" name="Order / source link"/>
    <x:tableColumn id="10" name="Fit-check 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oldClosureTable" displayName="HoldClosureTable" ref="A1:D9" headerRowCount="1" totalsRowCount="0" totalsRowShown="0">
  <x:tableColumns count="4">
    <x:tableColumn id="1" name="Held item"/>
    <x:tableColumn id="2" name="Reason"/>
    <x:tableColumn id="3" name="Close the hold by"/>
    <x:tableColumn id="4" name="Release 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2af7720b01643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ea044d038ce43e7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44" hidden="0" customWidth="1"/>
    <x:col min="3" max="3" width="48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2" customHeight="1">
      <x:c r="A1" s="3" t="str">
        <x:v>Weather Balloon Logger - Fit-Check Order</x:v>
      </x:c>
      <x:c r="B1" s="3"/>
      <x:c r="C1" s="3"/>
      <x:c r="D1" s="3"/>
      <x:c r="E1" s="3"/>
      <x:c r="F1" s="3"/>
    </x:row>
    <x:row r="3" ht="15" hidden="0" customHeight="1">
      <x:c r="A3" s="6" t="str">
        <x:v>Prepared</x:v>
      </x:c>
      <x:c r="B3" s="9" t="str">
        <x:v>2026-09-21</x:v>
      </x:c>
    </x:row>
    <x:row r="4" ht="26.399999618530273" hidden="0" customHeight="1">
      <x:c r="A4" s="6" t="str">
        <x:v>Scope</x:v>
      </x:c>
      <x:c r="B4" s="9" t="str">
        <x:v>One complete carrier fit check plus practical prototype spares</x:v>
      </x:c>
    </x:row>
    <x:row r="5" ht="15" hidden="0" customHeight="1">
      <x:c r="A5" s="6" t="str">
        <x:v>Buy-now line items</x:v>
      </x:c>
      <x:c r="B5" s="9" t="n">
        <x:f>COUNTIF('Order List'!$A$2:$A$23,"BUY NOW")</x:f>
        <x:v>14</x:v>
      </x:c>
    </x:row>
    <x:row r="6" ht="15" hidden="0" customHeight="1">
      <x:c r="A6" s="6" t="str">
        <x:v>Held line items</x:v>
      </x:c>
      <x:c r="B6" s="9" t="n">
        <x:f>COUNTIF('Order List'!$A$2:$A$23,"HOLD")</x:f>
        <x:v>8</x:v>
      </x:c>
    </x:row>
    <x:row r="7" ht="15" hidden="0" customHeight="1">
      <x:c r="A7" s="6" t="str">
        <x:v>Required populated PCB refs</x:v>
      </x:c>
      <x:c r="B7" s="9" t="n">
        <x:v>12</x:v>
      </x:c>
    </x:row>
    <x:row r="8" ht="26.399999618530273" hidden="0" customHeight="1">
      <x:c r="A8" s="6" t="str">
        <x:v>Primary gate</x:v>
      </x:c>
      <x:c r="B8" s="9" t="str">
        <x:v>Do not fabricate until the 1:1 exact-parts fit check passes</x:v>
      </x:c>
    </x:row>
    <x:row r="9"/>
    <x:row r="10" ht="15" hidden="0" customHeight="1">
      <x:c r="A10" s="10" t="str">
        <x:v>Ordering rules</x:v>
      </x:c>
      <x:c r="B10" s="10"/>
      <x:c r="C10" s="10"/>
      <x:c r="D10" s="10"/>
      <x:c r="E10" s="10"/>
      <x:c r="F10" s="10"/>
    </x:row>
    <x:row r="11" ht="26.399999618530273" hidden="0" customHeight="1">
      <x:c r="A11" s="12" t="str">
        <x:v>1</x:v>
      </x:c>
      <x:c r="B11" s="12" t="str">
        <x:v>Buy exact MPNs for fit</x:v>
      </x:c>
      <x:c r="C11" s="12" t="str">
        <x:v>Substitutes can change body, lead pitch, or connector envelope.</x:v>
      </x:c>
      <x:c r="D11" s="12"/>
      <x:c r="E11" s="12"/>
      <x:c r="F11" s="12"/>
    </x:row>
    <x:row r="12" ht="26.399999618530273" hidden="0" customHeight="1">
      <x:c r="A12" s="12" t="str">
        <x:v>2</x:v>
      </x:c>
      <x:c r="B12" s="12" t="str">
        <x:v>Measure LightHAB first</x:v>
      </x:c>
      <x:c r="C12" s="12" t="str">
        <x:v>J1/J2/J3 and all four mounting holes remain provisional until the purchased tracker is measured.</x:v>
      </x:c>
      <x:c r="D12" s="12"/>
      <x:c r="E12" s="12"/>
      <x:c r="F12" s="12"/>
    </x:row>
    <x:row r="13" ht="26.399999618530273" hidden="0" customHeight="1">
      <x:c r="A13" s="12" t="str">
        <x:v>3</x:v>
      </x:c>
      <x:c r="B13" s="12" t="str">
        <x:v>Use pre-crimp J5 leads</x:v>
      </x:c>
      <x:c r="C13" s="12" t="str">
        <x:v>Avoids specialized JST production tooling for the prototype cutdown harness.</x:v>
      </x:c>
      <x:c r="D13" s="12"/>
      <x:c r="E13" s="12"/>
      <x:c r="F13" s="12"/>
    </x:row>
    <x:row r="14" ht="26.399999618530273" hidden="0" customHeight="1">
      <x:c r="A14" s="12" t="str">
        <x:v>4</x:v>
      </x:c>
      <x:c r="B14" s="12" t="str">
        <x:v>Keep flight-critical holds</x:v>
      </x:c>
      <x:c r="C14" s="12" t="str">
        <x:v>Interfaces, antennas, nichrome, sleeves, and final spacers need physical or test inputs.</x:v>
      </x:c>
      <x:c r="D14" s="12"/>
      <x:c r="E14" s="12"/>
      <x:c r="F14" s="12"/>
    </x:row>
    <x:row r="15" ht="26.399999618530273" hidden="0" customHeight="1">
      <x:c r="A15" s="12" t="str">
        <x:v>5</x:v>
      </x:c>
      <x:c r="B15" s="12" t="str">
        <x:v>Recheck checkout</x:v>
      </x:c>
      <x:c r="C15" s="12" t="str">
        <x:v>Stock, price, tariffs, and authorized-distributor status can change.</x:v>
      </x:c>
      <x:c r="D15" s="12"/>
      <x:c r="E15" s="12"/>
      <x:c r="F15" s="12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28" hidden="0" customWidth="1"/>
    <x:col min="5" max="5" width="36" hidden="0" customWidth="1"/>
    <x:col min="6" max="6" width="8" hidden="0" customWidth="1"/>
    <x:col min="7" max="7" width="8" hidden="0" customWidth="1"/>
    <x:col min="8" max="8" width="18" hidden="0" customWidth="1"/>
    <x:col min="9" max="9" width="52" hidden="0" customWidth="1"/>
    <x:col min="10" max="10" width="48" hidden="0" customWidth="1"/>
  </x:cols>
  <x:sheetData>
    <x:row r="1" ht="39.599998474121094" hidden="0" customHeight="1">
      <x:c r="A1" s="15" t="str">
        <x:v>Status</x:v>
      </x:c>
      <x:c r="B1" s="15" t="str">
        <x:v>Category</x:v>
      </x:c>
      <x:c r="C1" s="15" t="str">
        <x:v>Ref / Use</x:v>
      </x:c>
      <x:c r="D1" s="15" t="str">
        <x:v>Manufacturer Part</x:v>
      </x:c>
      <x:c r="E1" s="15" t="str">
        <x:v>Description</x:v>
      </x:c>
      <x:c r="F1" s="15" t="str">
        <x:v>Need</x:v>
      </x:c>
      <x:c r="G1" s="15" t="str">
        <x:v>Order</x:v>
      </x:c>
      <x:c r="H1" s="15" t="str">
        <x:v>Source</x:v>
      </x:c>
      <x:c r="I1" s="15" t="str">
        <x:v>Order / source link</x:v>
      </x:c>
      <x:c r="J1" s="15" t="str">
        <x:v>Fit-check notes</x:v>
      </x:c>
    </x:row>
    <x:row r="2" ht="84" hidden="0" customHeight="1">
      <x:c r="A2" s="19" t="str">
        <x:v>BUY NOW</x:v>
      </x:c>
      <x:c r="B2" s="19" t="str">
        <x:v>Module</x:v>
      </x:c>
      <x:c r="C2" s="19" t="str">
        <x:v>A1</x:v>
      </x:c>
      <x:c r="D2" s="19" t="str">
        <x:v>DEV-13955</x:v>
      </x:c>
      <x:c r="E2" s="19" t="str">
        <x:v>SparkFun OpenLog with Headers</x:v>
      </x:c>
      <x:c r="F2" s="20" t="n">
        <x:v>1</x:v>
      </x:c>
      <x:c r="G2" s="20" t="n">
        <x:v>1</x:v>
      </x:c>
      <x:c r="H2" s="19" t="str">
        <x:v>SparkFun</x:v>
      </x:c>
      <x:c r="I2" s="19" t="str">
        <x:v>https://www.sparkfun.com/sparkfun-openlog-with-headers.html</x:v>
      </x:c>
      <x:c r="J2" s="19" t="str">
        <x:v>Exact with-headers version</x:v>
      </x:c>
    </x:row>
    <x:row r="3" ht="48" hidden="0" customHeight="1">
      <x:c r="A3" s="19" t="str">
        <x:v>BUY NOW</x:v>
      </x:c>
      <x:c r="B3" s="19" t="str">
        <x:v>Module</x:v>
      </x:c>
      <x:c r="C3" s="19" t="str">
        <x:v>A2</x:v>
      </x:c>
      <x:c r="D3" s="19" t="str">
        <x:v>2123</x:v>
      </x:c>
      <x:c r="E3" s="19" t="str">
        <x:v>Pololu S7V8F5 fixed 5 V regulator</x:v>
      </x:c>
      <x:c r="F3" s="20" t="n">
        <x:v>1</x:v>
      </x:c>
      <x:c r="G3" s="20" t="n">
        <x:v>1</x:v>
      </x:c>
      <x:c r="H3" s="19" t="str">
        <x:v>Pololu</x:v>
      </x:c>
      <x:c r="I3" s="19" t="str">
        <x:v>https://www.pololu.com/product/2123</x:v>
      </x:c>
      <x:c r="J3" s="19" t="str">
        <x:v>Use included straight header</x:v>
      </x:c>
    </x:row>
    <x:row r="4" ht="84" hidden="0" customHeight="1">
      <x:c r="A4" s="19" t="str">
        <x:v>BUY NOW</x:v>
      </x:c>
      <x:c r="B4" s="19" t="str">
        <x:v>Module</x:v>
      </x:c>
      <x:c r="C4" s="19" t="str">
        <x:v>Host</x:v>
      </x:c>
      <x:c r="D4" s="19" t="str">
        <x:v>LightHABTracker 1.0</x:v>
      </x:c>
      <x:c r="E4" s="19" t="str">
        <x:v>GPS/APRS/WSPR tracker with 3xAA holder and two pyro outputs</x:v>
      </x:c>
      <x:c r="F4" s="20" t="n">
        <x:v>1</x:v>
      </x:c>
      <x:c r="G4" s="20" t="n">
        <x:v>1</x:v>
      </x:c>
      <x:c r="H4" s="19" t="str">
        <x:v>QRP Labs</x:v>
      </x:c>
      <x:c r="I4" s="19" t="str">
        <x:v>https://shop.qrp-labs.com/aprs/LightHABTracker</x:v>
      </x:c>
      <x:c r="J4" s="19" t="str">
        <x:v>Measure the purchased board before fabricating the carrier</x:v>
      </x:c>
    </x:row>
    <x:row r="5" ht="96" hidden="0" customHeight="1">
      <x:c r="A5" s="19" t="str">
        <x:v>BUY NOW</x:v>
      </x:c>
      <x:c r="B5" s="19" t="str">
        <x:v>Capacitor</x:v>
      </x:c>
      <x:c r="C5" s="19" t="str">
        <x:v>C1</x:v>
      </x:c>
      <x:c r="D5" s="19" t="str">
        <x:v>C322C475K5R5TA</x:v>
      </x:c>
      <x:c r="E5" s="19" t="str">
        <x:v>4.7 uF radial THT capacitor</x:v>
      </x:c>
      <x:c r="F5" s="20" t="n">
        <x:v>1</x:v>
      </x:c>
      <x:c r="G5" s="20" t="n">
        <x:v>3</x:v>
      </x:c>
      <x:c r="H5" s="19" t="str">
        <x:v>DigiKey</x:v>
      </x:c>
      <x:c r="I5" s="19" t="str">
        <x:v>https://www.digikey.com/en/products/result?keywords=C322C475K5R5TA</x:v>
      </x:c>
      <x:c r="J5" s="19" t="str">
        <x:v>Prototype spares included</x:v>
      </x:c>
    </x:row>
    <x:row r="6" ht="96" hidden="0" customHeight="1">
      <x:c r="A6" s="19" t="str">
        <x:v>BUY NOW</x:v>
      </x:c>
      <x:c r="B6" s="19" t="str">
        <x:v>Capacitor</x:v>
      </x:c>
      <x:c r="C6" s="19" t="str">
        <x:v>C2</x:v>
      </x:c>
      <x:c r="D6" s="19" t="str">
        <x:v>C315C104K5R5TA</x:v>
      </x:c>
      <x:c r="E6" s="19" t="str">
        <x:v>0.1 uF radial THT capacitor</x:v>
      </x:c>
      <x:c r="F6" s="20" t="n">
        <x:v>1</x:v>
      </x:c>
      <x:c r="G6" s="20" t="n">
        <x:v>5</x:v>
      </x:c>
      <x:c r="H6" s="19" t="str">
        <x:v>DigiKey</x:v>
      </x:c>
      <x:c r="I6" s="19" t="str">
        <x:v>https://www.digikey.com/en/products/result?keywords=C315C104K5R5TA</x:v>
      </x:c>
      <x:c r="J6" s="19" t="str">
        <x:v>Prototype spares included</x:v>
      </x:c>
    </x:row>
    <x:row r="7" ht="84" hidden="0" customHeight="1">
      <x:c r="A7" s="19" t="str">
        <x:v>BUY NOW</x:v>
      </x:c>
      <x:c r="B7" s="19" t="str">
        <x:v>LED</x:v>
      </x:c>
      <x:c r="C7" s="19" t="str">
        <x:v>D1</x:v>
      </x:c>
      <x:c r="D7" s="19" t="str">
        <x:v>WP710A10SGC</x:v>
      </x:c>
      <x:c r="E7" s="19" t="str">
        <x:v>3 mm green THT LED</x:v>
      </x:c>
      <x:c r="F7" s="20" t="n">
        <x:v>1</x:v>
      </x:c>
      <x:c r="G7" s="20" t="n">
        <x:v>2</x:v>
      </x:c>
      <x:c r="H7" s="19" t="str">
        <x:v>DigiKey</x:v>
      </x:c>
      <x:c r="I7" s="19" t="str">
        <x:v>https://www.digikey.com/en/products/result?keywords=WP710A10SGC</x:v>
      </x:c>
      <x:c r="J7" s="19" t="str"/>
    </x:row>
    <x:row r="8" ht="108" hidden="0" customHeight="1">
      <x:c r="A8" s="19" t="str">
        <x:v>BUY NOW</x:v>
      </x:c>
      <x:c r="B8" s="19" t="str">
        <x:v>PCB connector</x:v>
      </x:c>
      <x:c r="C8" s="19" t="str">
        <x:v>J5</x:v>
      </x:c>
      <x:c r="D8" s="19" t="str">
        <x:v>S2B-XH-A(LF)(SN)</x:v>
      </x:c>
      <x:c r="E8" s="19" t="str">
        <x:v>JST XH 2-pin side-entry THT header</x:v>
      </x:c>
      <x:c r="F8" s="20" t="n">
        <x:v>1</x:v>
      </x:c>
      <x:c r="G8" s="20" t="n">
        <x:v>2</x:v>
      </x:c>
      <x:c r="H8" s="19" t="str">
        <x:v>DigiKey</x:v>
      </x:c>
      <x:c r="I8" s="19" t="str">
        <x:v>https://www.digikey.com/en/products/result?keywords=S2B-XH-A%28LF%29%28SN%29</x:v>
      </x:c>
      <x:c r="J8" s="19" t="str">
        <x:v>Cutdown output</x:v>
      </x:c>
    </x:row>
    <x:row r="9" ht="96" hidden="0" customHeight="1">
      <x:c r="A9" s="19" t="str">
        <x:v>BUY NOW</x:v>
      </x:c>
      <x:c r="B9" s="19" t="str">
        <x:v>Resistor</x:v>
      </x:c>
      <x:c r="C9" s="19" t="str">
        <x:v>R1,R4</x:v>
      </x:c>
      <x:c r="D9" s="19" t="str">
        <x:v>MFR-25FBF52-1K</x:v>
      </x:c>
      <x:c r="E9" s="19" t="str">
        <x:v>1 kohm 1% 1/4 W axial</x:v>
      </x:c>
      <x:c r="F9" s="20" t="n">
        <x:v>2</x:v>
      </x:c>
      <x:c r="G9" s="20" t="n">
        <x:v>10</x:v>
      </x:c>
      <x:c r="H9" s="19" t="str">
        <x:v>DigiKey</x:v>
      </x:c>
      <x:c r="I9" s="19" t="str">
        <x:v>https://www.digikey.com/en/products/detail/yageo/MFR-25FBF52-1K/13011</x:v>
      </x:c>
      <x:c r="J9" s="19" t="str"/>
    </x:row>
    <x:row r="10" ht="96" hidden="0" customHeight="1">
      <x:c r="A10" s="19" t="str">
        <x:v>BUY NOW</x:v>
      </x:c>
      <x:c r="B10" s="19" t="str">
        <x:v>Resistor</x:v>
      </x:c>
      <x:c r="C10" s="19" t="str">
        <x:v>R2</x:v>
      </x:c>
      <x:c r="D10" s="19" t="str">
        <x:v>MFR-25FBF52-100K</x:v>
      </x:c>
      <x:c r="E10" s="19" t="str">
        <x:v>100 kohm 1% 1/4 W axial</x:v>
      </x:c>
      <x:c r="F10" s="20" t="n">
        <x:v>1</x:v>
      </x:c>
      <x:c r="G10" s="20" t="n">
        <x:v>5</x:v>
      </x:c>
      <x:c r="H10" s="19" t="str">
        <x:v>DigiKey</x:v>
      </x:c>
      <x:c r="I10" s="19" t="str">
        <x:v>https://www.digikey.com/en/products/result?keywords=MFR-25FBF52-100K</x:v>
      </x:c>
      <x:c r="J10" s="19" t="str">
        <x:v>LED reset-default-off pull-up</x:v>
      </x:c>
    </x:row>
    <x:row r="11" ht="84" hidden="0" customHeight="1">
      <x:c r="A11" s="19" t="str">
        <x:v>BUY NOW</x:v>
      </x:c>
      <x:c r="B11" s="19" t="str">
        <x:v>Cutdown harness</x:v>
      </x:c>
      <x:c r="C11" s="19" t="str">
        <x:v>J5 mate</x:v>
      </x:c>
      <x:c r="D11" s="19" t="str">
        <x:v>XHP-2</x:v>
      </x:c>
      <x:c r="E11" s="19" t="str">
        <x:v>JST XH 2-position receptacle housing</x:v>
      </x:c>
      <x:c r="F11" s="20" t="n">
        <x:v>1</x:v>
      </x:c>
      <x:c r="G11" s="20" t="n">
        <x:v>2</x:v>
      </x:c>
      <x:c r="H11" s="19" t="str">
        <x:v>DigiKey</x:v>
      </x:c>
      <x:c r="I11" s="19" t="str">
        <x:v>https://www.digikey.com/en/products/result?keywords=XHP-2</x:v>
      </x:c>
      <x:c r="J11" s="19" t="str">
        <x:v>Housing only</x:v>
      </x:c>
    </x:row>
    <x:row r="12" ht="120" hidden="0" customHeight="1">
      <x:c r="A12" s="19" t="str">
        <x:v>BUY NOW</x:v>
      </x:c>
      <x:c r="B12" s="19" t="str">
        <x:v>Cutdown harness</x:v>
      </x:c>
      <x:c r="C12" s="19" t="str">
        <x:v>J5 leads</x:v>
      </x:c>
      <x:c r="D12" s="19" t="str">
        <x:v>ASXHSXH22K152</x:v>
      </x:c>
      <x:c r="E12" s="19" t="str">
        <x:v>22 AWG 6-inch pre-crimp socket-to-socket lead</x:v>
      </x:c>
      <x:c r="F12" s="20" t="n">
        <x:v>2</x:v>
      </x:c>
      <x:c r="G12" s="20" t="n">
        <x:v>2</x:v>
      </x:c>
      <x:c r="H12" s="19" t="str">
        <x:v>DigiKey</x:v>
      </x:c>
      <x:c r="I12" s="19" t="str">
        <x:v>https://www.digikey.com/en/products/detail/jst-sales-america-inc/ASXHSXH22K152/6684931</x:v>
      </x:c>
      <x:c r="J12" s="19" t="str">
        <x:v>Cut in half; identify PACK+ and FET-</x:v>
      </x:c>
    </x:row>
    <x:row r="13" ht="48" hidden="0" customHeight="1">
      <x:c r="A13" s="19" t="str">
        <x:v>BUY NOW</x:v>
      </x:c>
      <x:c r="B13" s="19" t="str">
        <x:v>Power</x:v>
      </x:c>
      <x:c r="C13" s="19" t="str">
        <x:v>Flight/test cells</x:v>
      </x:c>
      <x:c r="D13" s="19" t="str">
        <x:v>Energizer L91</x:v>
      </x:c>
      <x:c r="E13" s="19" t="str">
        <x:v>AA lithium primary cell</x:v>
      </x:c>
      <x:c r="F13" s="20" t="n">
        <x:v>3</x:v>
      </x:c>
      <x:c r="G13" s="20" t="n">
        <x:v>6</x:v>
      </x:c>
      <x:c r="H13" s="19" t="str">
        <x:v>Authorized retailer</x:v>
      </x:c>
      <x:c r="I13" s="19" t="str">
        <x:v>https://data.energizer.com/pdfs/l91.pdf</x:v>
      </x:c>
      <x:c r="J13" s="19" t="str">
        <x:v>Two matched 3-cell sets</x:v>
      </x:c>
    </x:row>
    <x:row r="14" ht="84" hidden="0" customHeight="1">
      <x:c r="A14" s="19" t="str">
        <x:v>BUY NOW</x:v>
      </x:c>
      <x:c r="B14" s="19" t="str">
        <x:v>Storage</x:v>
      </x:c>
      <x:c r="C14" s="19" t="str">
        <x:v>OpenLog media</x:v>
      </x:c>
      <x:c r="D14" s="19" t="str">
        <x:v>microSDHC &lt;=32 GB</x:v>
      </x:c>
      <x:c r="E14" s="19" t="str">
        <x:v>FAT32 microSD card</x:v>
      </x:c>
      <x:c r="F14" s="20" t="n">
        <x:v>1</x:v>
      </x:c>
      <x:c r="G14" s="20" t="n">
        <x:v>2</x:v>
      </x:c>
      <x:c r="H14" s="19" t="str">
        <x:v>Reputable retailer</x:v>
      </x:c>
      <x:c r="I14" s="19" t="str">
        <x:v>https://www.sparkfun.com/sparkfun-openlog-with-headers.html</x:v>
      </x:c>
      <x:c r="J14" s="19" t="str">
        <x:v>One spare</x:v>
      </x:c>
    </x:row>
    <x:row r="15" ht="60" hidden="0" customHeight="1">
      <x:c r="A15" s="19" t="str">
        <x:v>BUY NOW</x:v>
      </x:c>
      <x:c r="B15" s="19" t="str">
        <x:v>Mechanical fit tool</x:v>
      </x:c>
      <x:c r="C15" s="19" t="str">
        <x:v>Module spacing</x:v>
      </x:c>
      <x:c r="D15" s="19" t="str">
        <x:v>M2/M2.5 nylon hardware assortment</x:v>
      </x:c>
      <x:c r="E15" s="19" t="str">
        <x:v>Spacers, screws, and nuts</x:v>
      </x:c>
      <x:c r="F15" s="20" t="n">
        <x:v>4</x:v>
      </x:c>
      <x:c r="G15" s="20" t="n">
        <x:v>1</x:v>
      </x:c>
      <x:c r="H15" s="19" t="str">
        <x:v>Local supplier</x:v>
      </x:c>
      <x:c r="I15" s="19" t="str"/>
      <x:c r="J15" s="19" t="str">
        <x:v>Fit tool only; final diameter and height held</x:v>
      </x:c>
    </x:row>
    <x:row r="16" ht="84" hidden="0" customHeight="1">
      <x:c r="A16" s="19" t="str">
        <x:v>HOLD</x:v>
      </x:c>
      <x:c r="B16" s="19" t="str">
        <x:v>Module interface</x:v>
      </x:c>
      <x:c r="C16" s="19" t="str">
        <x:v>J1</x:v>
      </x:c>
      <x:c r="D16" s="19" t="str">
        <x:v>TBD after measurement</x:v>
      </x:c>
      <x:c r="E16" s="19" t="str">
        <x:v>Two-position VBATT/GND solder interface</x:v>
      </x:c>
      <x:c r="F16" s="20" t="n">
        <x:v>1</x:v>
      </x:c>
      <x:c r="G16" s="20" t="n">
        <x:v>0</x:v>
      </x:c>
      <x:c r="H16" s="19" t="str">
        <x:v>TBD</x:v>
      </x:c>
      <x:c r="I16" s="19" t="str"/>
      <x:c r="J16" s="19" t="str">
        <x:v>Measure pad pitch, hole size, and mating method on LightHAB</x:v>
      </x:c>
    </x:row>
    <x:row r="17" ht="96" hidden="0" customHeight="1">
      <x:c r="A17" s="19" t="str">
        <x:v>HOLD</x:v>
      </x:c>
      <x:c r="B17" s="19" t="str">
        <x:v>Module interface</x:v>
      </x:c>
      <x:c r="C17" s="19" t="str">
        <x:v>J2</x:v>
      </x:c>
      <x:c r="D17" s="19" t="str">
        <x:v>TBD after measurement</x:v>
      </x:c>
      <x:c r="E17" s="19" t="str">
        <x:v>Nine-position signal solder interface</x:v>
      </x:c>
      <x:c r="F17" s="20" t="n">
        <x:v>1</x:v>
      </x:c>
      <x:c r="G17" s="20" t="n">
        <x:v>0</x:v>
      </x:c>
      <x:c r="H17" s="19" t="str">
        <x:v>TBD</x:v>
      </x:c>
      <x:c r="I17" s="19" t="str"/>
      <x:c r="J17" s="19" t="str">
        <x:v>Verify actual row pitch, location, and installed header direction</x:v>
      </x:c>
    </x:row>
    <x:row r="18" ht="84" hidden="0" customHeight="1">
      <x:c r="A18" s="19" t="str">
        <x:v>HOLD</x:v>
      </x:c>
      <x:c r="B18" s="19" t="str">
        <x:v>Module interface</x:v>
      </x:c>
      <x:c r="C18" s="19" t="str">
        <x:v>J3</x:v>
      </x:c>
      <x:c r="D18" s="19" t="str">
        <x:v>TBD after measurement</x:v>
      </x:c>
      <x:c r="E18" s="19" t="str">
        <x:v>Two-position OUT1/GND solder interface</x:v>
      </x:c>
      <x:c r="F18" s="20" t="n">
        <x:v>1</x:v>
      </x:c>
      <x:c r="G18" s="20" t="n">
        <x:v>0</x:v>
      </x:c>
      <x:c r="H18" s="19" t="str">
        <x:v>TBD</x:v>
      </x:c>
      <x:c r="I18" s="19" t="str"/>
      <x:c r="J18" s="19" t="str">
        <x:v>Measure pad pitch, hole size, and mating method on LightHAB</x:v>
      </x:c>
    </x:row>
    <x:row r="19" ht="72" hidden="0" customHeight="1">
      <x:c r="A19" s="19" t="str">
        <x:v>HOLD</x:v>
      </x:c>
      <x:c r="B19" s="19" t="str">
        <x:v>Fabrication</x:v>
      </x:c>
      <x:c r="C19" s="19" t="str">
        <x:v>Carrier PCB</x:v>
      </x:c>
      <x:c r="D19" s="19" t="str">
        <x:v>Bare PCB</x:v>
      </x:c>
      <x:c r="E19" s="19" t="str">
        <x:v>Fabricated weather-balloon-logger carrier</x:v>
      </x:c>
      <x:c r="F19" s="20" t="n">
        <x:v>1</x:v>
      </x:c>
      <x:c r="G19" s="20" t="n">
        <x:v>0</x:v>
      </x:c>
      <x:c r="H19" s="19" t="str">
        <x:v>PCB fabricator</x:v>
      </x:c>
      <x:c r="I19" s="19" t="str"/>
      <x:c r="J19" s="19" t="str">
        <x:v>Order only after exact-parts 1:1 fit gate passes</x:v>
      </x:c>
    </x:row>
    <x:row r="20" ht="108" hidden="0" customHeight="1">
      <x:c r="A20" s="19" t="str">
        <x:v>HOLD</x:v>
      </x:c>
      <x:c r="B20" s="19" t="str">
        <x:v>RF system</x:v>
      </x:c>
      <x:c r="C20" s="19" t="str">
        <x:v>Antennas/cables</x:v>
      </x:c>
      <x:c r="D20" s="19" t="str">
        <x:v>TBD</x:v>
      </x:c>
      <x:c r="E20" s="19" t="str">
        <x:v>APRS and WSPR antennas/cables for onboard SMA ports</x:v>
      </x:c>
      <x:c r="F20" s="20" t="n">
        <x:v>2</x:v>
      </x:c>
      <x:c r="G20" s="20" t="n">
        <x:v>0</x:v>
      </x:c>
      <x:c r="H20" s="19" t="str">
        <x:v>TBD</x:v>
      </x:c>
      <x:c r="I20" s="19" t="str"/>
      <x:c r="J20" s="19" t="str">
        <x:v>Needs selected bands, payload geometry, cable length, and VSWR</x:v>
      </x:c>
    </x:row>
    <x:row r="21" ht="120" hidden="0" customHeight="1">
      <x:c r="A21" s="19" t="str">
        <x:v>HOLD</x:v>
      </x:c>
      <x:c r="B21" s="19" t="str">
        <x:v>Cutdown</x:v>
      </x:c>
      <x:c r="C21" s="19" t="str">
        <x:v>Burn element</x:v>
      </x:c>
      <x:c r="D21" s="19" t="str">
        <x:v>TBD Nichrome 80</x:v>
      </x:c>
      <x:c r="E21" s="19" t="str">
        <x:v>Nichrome gauge and active length</x:v>
      </x:c>
      <x:c r="F21" s="20" t="n">
        <x:v>1</x:v>
      </x:c>
      <x:c r="G21" s="20" t="n">
        <x:v>0</x:v>
      </x:c>
      <x:c r="H21" s="19" t="str">
        <x:v>TBD</x:v>
      </x:c>
      <x:c r="I21" s="19" t="str"/>
      <x:c r="J21" s="19" t="str">
        <x:v>Bench-select against verified LightHAB OUT1 rating and cold battery behavior</x:v>
      </x:c>
    </x:row>
    <x:row r="22" ht="60" hidden="0" customHeight="1">
      <x:c r="A22" s="19" t="str">
        <x:v>HOLD</x:v>
      </x:c>
      <x:c r="B22" s="19" t="str">
        <x:v>Cutdown</x:v>
      </x:c>
      <x:c r="C22" s="19" t="str">
        <x:v>Burn-wire joint</x:v>
      </x:c>
      <x:c r="D22" s="19" t="str">
        <x:v>TBD crimp sleeve</x:v>
      </x:c>
      <x:c r="E22" s="19" t="str">
        <x:v>Nichrome-to-copper mechanical splice</x:v>
      </x:c>
      <x:c r="F22" s="20" t="n">
        <x:v>2</x:v>
      </x:c>
      <x:c r="G22" s="20" t="n">
        <x:v>0</x:v>
      </x:c>
      <x:c r="H22" s="19" t="str">
        <x:v>TBD</x:v>
      </x:c>
      <x:c r="I22" s="19" t="str"/>
      <x:c r="J22" s="19" t="str">
        <x:v>Size after wire selection; do not rely on solder</x:v>
      </x:c>
    </x:row>
    <x:row r="23" ht="120" hidden="0" customHeight="1">
      <x:c r="A23" s="19" t="str">
        <x:v>HOLD</x:v>
      </x:c>
      <x:c r="B23" s="19" t="str">
        <x:v>Mechanical</x:v>
      </x:c>
      <x:c r="C23" s="19" t="str">
        <x:v>Flight module spacers</x:v>
      </x:c>
      <x:c r="D23" s="19" t="str">
        <x:v>TBD after measurement</x:v>
      </x:c>
      <x:c r="E23" s="19" t="str">
        <x:v>Final LightHAB mounting hardware</x:v>
      </x:c>
      <x:c r="F23" s="20" t="n">
        <x:v>4</x:v>
      </x:c>
      <x:c r="G23" s="20" t="n">
        <x:v>0</x:v>
      </x:c>
      <x:c r="H23" s="19" t="str">
        <x:v>TBD</x:v>
      </x:c>
      <x:c r="I23" s="19" t="str"/>
      <x:c r="J23" s="19" t="str">
        <x:v>Measure physical stack, holes, battery holder, USB, and SMA clearance first</x:v>
      </x:c>
    </x:row>
  </x:sheetData>
  <x:conditionalFormatting sqref="A2:A23">
    <x:cfRule type="containsText" dxfId="0" priority="1" operator="containsText" text="BUY NOW"/>
    <x:cfRule type="containsText" dxfId="1" priority="2" operator="containsText" text="HOLD"/>
  </x:conditionalFormatting>
  <x:pageMargins left="0.7" right="0.7" top="0.75" bottom="0.75" header="0.3" footer="0.3"/>
  <x:tableParts count="1">
    <x:tablePart xmlns:r="http://schemas.openxmlformats.org/officeDocument/2006/relationships" r:id="R02af7720b01643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62" hidden="0" customWidth="1"/>
    <x:col min="4" max="4" width="14" hidden="0" customWidth="1"/>
  </x:cols>
  <x:sheetData>
    <x:row r="1" ht="28" customHeight="1">
      <x:c r="A1" s="21" t="str">
        <x:v>Held item</x:v>
      </x:c>
      <x:c r="B1" s="21" t="str">
        <x:v>Reason</x:v>
      </x:c>
      <x:c r="C1" s="21" t="str">
        <x:v>Close the hold by</x:v>
      </x:c>
      <x:c r="D1" s="21" t="str">
        <x:v>Release state</x:v>
      </x:c>
    </x:row>
    <x:row r="2" ht="58" customHeight="1">
      <x:c r="A2" s="22" t="str">
        <x:v>LightHAB J1/J2/J3 interfaces</x:v>
      </x:c>
      <x:c r="B2" s="22" t="str">
        <x:v>Vendor mechanical geometry is not published</x:v>
      </x:c>
      <x:c r="C2" s="22" t="str">
        <x:v>Measure pitch, hole diameter, row location, orientation, and solder access on the purchased board</x:v>
      </x:c>
      <x:c r="D2" s="25" t="str">
        <x:v>OPEN</x:v>
      </x:c>
    </x:row>
    <x:row r="3" ht="58" customHeight="1">
      <x:c r="A3" s="22" t="str">
        <x:v>LightHAB mounting holes</x:v>
      </x:c>
      <x:c r="B3" s="22" t="str">
        <x:v>Provisional carrier coordinates are not authoritative</x:v>
      </x:c>
      <x:c r="C3" s="22" t="str">
        <x:v>Measure all centers and diameters; update H1-H4 and the module outline</x:v>
      </x:c>
      <x:c r="D3" s="25" t="str">
        <x:v>OPEN</x:v>
      </x:c>
    </x:row>
    <x:row r="4" ht="58" customHeight="1">
      <x:c r="A4" s="22" t="str">
        <x:v>Bare PCB fabrication</x:v>
      </x:c>
      <x:c r="B4" s="22" t="str">
        <x:v>Measured-module fit gate precedes fabrication</x:v>
      </x:c>
      <x:c r="C4" s="22" t="str">
        <x:v>Update CAD, print the 1:1 PDF, and verify all exact parts plus USB/SMA/battery clearances</x:v>
      </x:c>
      <x:c r="D4" s="25" t="str">
        <x:v>OPEN</x:v>
      </x:c>
    </x:row>
    <x:row r="5" ht="58" customHeight="1">
      <x:c r="A5" s="22" t="str">
        <x:v>APRS/WSPR antennas and cables</x:v>
      </x:c>
      <x:c r="B5" s="22" t="str">
        <x:v>Bands and payload geometry are not released</x:v>
      </x:c>
      <x:c r="C5" s="22" t="str">
        <x:v>Select bands and enclosure layout; verify SMA mating, cable routing, match, and harmonics</x:v>
      </x:c>
      <x:c r="D5" s="25" t="str">
        <x:v>OPEN</x:v>
      </x:c>
    </x:row>
    <x:row r="6" ht="58" customHeight="1">
      <x:c r="A6" s="22" t="str">
        <x:v>Nichrome wire</x:v>
      </x:c>
      <x:c r="B6" s="22" t="str">
        <x:v>Gauge/length set resistance and current</x:v>
      </x:c>
      <x:c r="C6" s="22" t="str">
        <x:v>Verify LightHAB OUT1 rating, then cold-test the selected wire and pulse duration</x:v>
      </x:c>
      <x:c r="D6" s="25" t="str">
        <x:v>OPEN</x:v>
      </x:c>
    </x:row>
    <x:row r="7" ht="58" customHeight="1">
      <x:c r="A7" s="22" t="str">
        <x:v>Nichrome sleeves</x:v>
      </x:c>
      <x:c r="B7" s="22" t="str">
        <x:v>Sleeve size follows final wire diameters</x:v>
      </x:c>
      <x:c r="C7" s="22" t="str">
        <x:v>Choose compatible mechanical crimps; prove pull strength and contact heating</x:v>
      </x:c>
      <x:c r="D7" s="25" t="str">
        <x:v>OPEN</x:v>
      </x:c>
    </x:row>
    <x:row r="8" ht="58" customHeight="1">
      <x:c r="A8" s="22" t="str">
        <x:v>Final mounting hardware</x:v>
      </x:c>
      <x:c r="B8" s="22" t="str">
        <x:v>Physical module stack-up remains unmeasured</x:v>
      </x:c>
      <x:c r="C8" s="22" t="str">
        <x:v>Measure hole diameter, board spacing, battery holder, USB, SMA, and underside clearance</x:v>
      </x:c>
      <x:c r="D8" s="25" t="str">
        <x:v>OPEN</x:v>
      </x:c>
    </x:row>
    <x:row r="9" ht="58" customHeight="1">
      <x:c r="A9" s="22" t="str">
        <x:v>LightHAB VBATT/OUT1 behavior</x:v>
      </x:c>
      <x:c r="B9" s="22" t="str">
        <x:v>Switch routing and pyro current rating are unverified</x:v>
      </x:c>
      <x:c r="C9" s="22" t="str">
        <x:v>Bench-confirm switched VBATT and qualify OUT1 with an inert load before attaching nichrome</x:v>
      </x:c>
      <x:c r="D9" s="25" t="str">
        <x:v>OPEN</x:v>
      </x:c>
    </x:row>
  </x:sheetData>
  <x:pageMargins left="0.7" right="0.7" top="0.75" bottom="0.75" header="0.3" footer="0.3"/>
  <x:tableParts count="1">
    <x:tablePart xmlns:r="http://schemas.openxmlformats.org/officeDocument/2006/relationships" r:id="R4ea044d038ce43e7"/>
  </x:tableParts>
</x:worksheet>
</file>